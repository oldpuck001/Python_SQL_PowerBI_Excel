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8"/>
  <workbookPr/>
  <mc:AlternateContent xmlns:mc="http://schemas.openxmlformats.org/markup-compatibility/2006">
    <mc:Choice Requires="x15">
      <x15ac:absPath xmlns:x15ac="http://schemas.microsoft.com/office/spreadsheetml/2010/11/ac" url="/Users/lei/Downloads/Python_SQL_PowerBI_Excel/Accounting_Audit/xlsx_file/"/>
    </mc:Choice>
  </mc:AlternateContent>
  <xr:revisionPtr revIDLastSave="0" documentId="13_ncr:1_{47F172EC-DCD9-2E48-9B8C-285276CCABA2}" xr6:coauthVersionLast="47" xr6:coauthVersionMax="47" xr10:uidLastSave="{00000000-0000-0000-0000-000000000000}"/>
  <bookViews>
    <workbookView xWindow="140" yWindow="660" windowWidth="28480" windowHeight="16080" activeTab="1" xr2:uid="{00000000-000D-0000-FFFF-FFFF00000000}"/>
  </bookViews>
  <sheets>
    <sheet name="info" sheetId="2" r:id="rId1"/>
    <sheet name="测算表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" i="1" l="1"/>
  <c r="Q2" i="1"/>
  <c r="P2" i="1"/>
  <c r="O2" i="1"/>
  <c r="N2" i="1"/>
  <c r="M2" i="1"/>
  <c r="L2" i="1"/>
  <c r="I2" i="1"/>
  <c r="H2" i="1"/>
</calcChain>
</file>

<file path=xl/sharedStrings.xml><?xml version="1.0" encoding="utf-8"?>
<sst xmlns="http://schemas.openxmlformats.org/spreadsheetml/2006/main" count="21" uniqueCount="21">
  <si>
    <r>
      <rPr>
        <sz val="12"/>
        <color theme="1"/>
        <rFont val="宋体"/>
        <family val="3"/>
        <charset val="134"/>
      </rPr>
      <t>上年末资产负债表日</t>
    </r>
  </si>
  <si>
    <r>
      <rPr>
        <sz val="12"/>
        <color theme="1"/>
        <rFont val="宋体"/>
        <family val="3"/>
        <charset val="134"/>
      </rPr>
      <t>资产负债表日</t>
    </r>
  </si>
  <si>
    <r>
      <rPr>
        <sz val="12"/>
        <rFont val="宋体"/>
        <family val="3"/>
        <charset val="134"/>
      </rPr>
      <t>资产类别</t>
    </r>
  </si>
  <si>
    <r>
      <rPr>
        <sz val="12"/>
        <rFont val="宋体"/>
        <family val="3"/>
        <charset val="134"/>
      </rPr>
      <t>卡片编号</t>
    </r>
  </si>
  <si>
    <r>
      <rPr>
        <sz val="12"/>
        <rFont val="宋体"/>
        <family val="3"/>
        <charset val="134"/>
      </rPr>
      <t>资产编号</t>
    </r>
  </si>
  <si>
    <r>
      <rPr>
        <sz val="12"/>
        <rFont val="宋体"/>
        <family val="3"/>
        <charset val="134"/>
      </rPr>
      <t>资产名称</t>
    </r>
  </si>
  <si>
    <r>
      <rPr>
        <sz val="12"/>
        <rFont val="宋体"/>
        <family val="3"/>
        <charset val="134"/>
      </rPr>
      <t>规格型号</t>
    </r>
  </si>
  <si>
    <r>
      <rPr>
        <sz val="12"/>
        <rFont val="宋体"/>
        <family val="3"/>
        <charset val="134"/>
      </rPr>
      <t>原值</t>
    </r>
  </si>
  <si>
    <r>
      <rPr>
        <sz val="12"/>
        <rFont val="宋体"/>
        <family val="3"/>
        <charset val="134"/>
      </rPr>
      <t>残值率</t>
    </r>
  </si>
  <si>
    <r>
      <rPr>
        <sz val="12"/>
        <rFont val="宋体"/>
        <family val="3"/>
        <charset val="134"/>
      </rPr>
      <t>残值</t>
    </r>
  </si>
  <si>
    <r>
      <rPr>
        <sz val="12"/>
        <rFont val="宋体"/>
        <family val="3"/>
        <charset val="134"/>
      </rPr>
      <t>原值</t>
    </r>
    <r>
      <rPr>
        <sz val="12"/>
        <rFont val="Times New Roman"/>
        <family val="1"/>
      </rPr>
      <t>-</t>
    </r>
    <r>
      <rPr>
        <sz val="12"/>
        <rFont val="宋体"/>
        <family val="3"/>
        <charset val="134"/>
      </rPr>
      <t>残值</t>
    </r>
  </si>
  <si>
    <r>
      <rPr>
        <sz val="12"/>
        <rFont val="宋体"/>
        <family val="3"/>
        <charset val="134"/>
      </rPr>
      <t>购入日期</t>
    </r>
  </si>
  <si>
    <r>
      <rPr>
        <sz val="12"/>
        <rFont val="宋体"/>
        <family val="3"/>
        <charset val="134"/>
      </rPr>
      <t>使用年限（月）</t>
    </r>
  </si>
  <si>
    <r>
      <rPr>
        <sz val="12"/>
        <rFont val="宋体"/>
        <family val="3"/>
        <charset val="134"/>
      </rPr>
      <t>年初累计折旧</t>
    </r>
  </si>
  <si>
    <r>
      <rPr>
        <sz val="12"/>
        <rFont val="宋体"/>
        <family val="3"/>
        <charset val="134"/>
      </rPr>
      <t>本年计提月数</t>
    </r>
  </si>
  <si>
    <r>
      <rPr>
        <sz val="12"/>
        <rFont val="宋体"/>
        <family val="3"/>
        <charset val="134"/>
      </rPr>
      <t>本年计提折旧</t>
    </r>
  </si>
  <si>
    <r>
      <rPr>
        <sz val="12"/>
        <rFont val="宋体"/>
        <family val="3"/>
        <charset val="134"/>
      </rPr>
      <t>期末已提折旧年限</t>
    </r>
  </si>
  <si>
    <r>
      <rPr>
        <sz val="12"/>
        <rFont val="宋体"/>
        <family val="3"/>
        <charset val="134"/>
      </rPr>
      <t>年末累计折旧</t>
    </r>
  </si>
  <si>
    <r>
      <rPr>
        <sz val="12"/>
        <rFont val="宋体"/>
        <family val="3"/>
        <charset val="134"/>
      </rPr>
      <t>测算净值</t>
    </r>
  </si>
  <si>
    <r>
      <rPr>
        <sz val="12"/>
        <rFont val="宋体"/>
        <family val="3"/>
        <charset val="134"/>
      </rPr>
      <t>被审计单位净值</t>
    </r>
  </si>
  <si>
    <r>
      <rPr>
        <sz val="12"/>
        <rFont val="宋体"/>
        <family val="3"/>
        <charset val="134"/>
      </rPr>
      <t>差额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</si>
</sst>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76" formatCode="_ * #,##0.00_ ;_ * \-#,##0.00_ ;_ * &quot;-&quot;??_ ;_ @_ "/>
    <numFmt numFmtId="177" formatCode="[$-409]yyyy/mm/dd;@"/>
  </numFmts>
  <fonts count="7">
    <font>
      <sz val="11"/>
      <color theme="1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2"/>
      <color theme="1"/>
      <name val="Times New Roman"/>
      <family val="1"/>
    </font>
    <font>
      <sz val="12"/>
      <color theme="1"/>
      <name val="宋体"/>
      <family val="3"/>
      <charset val="134"/>
    </font>
    <font>
      <sz val="12"/>
      <name val="Times New Roman"/>
      <family val="1"/>
    </font>
    <font>
      <sz val="12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3" fillId="0" borderId="0" xfId="0" applyFont="1">
      <alignment vertical="center"/>
    </xf>
    <xf numFmtId="49" fontId="3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10" fontId="3" fillId="0" borderId="0" xfId="0" applyNumberFormat="1" applyFont="1">
      <alignment vertical="center"/>
    </xf>
    <xf numFmtId="176" fontId="3" fillId="2" borderId="0" xfId="0" applyNumberFormat="1" applyFont="1" applyFill="1">
      <alignment vertical="center"/>
    </xf>
    <xf numFmtId="177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77" fontId="3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176" fontId="5" fillId="0" borderId="1" xfId="0" applyNumberFormat="1" applyFont="1" applyBorder="1" applyAlignment="1">
      <alignment horizontal="center" vertical="center"/>
    </xf>
    <xf numFmtId="10" fontId="5" fillId="0" borderId="1" xfId="1" applyNumberFormat="1" applyFont="1" applyBorder="1" applyAlignment="1" applyProtection="1">
      <alignment horizontal="center" vertical="center"/>
    </xf>
    <xf numFmtId="177" fontId="5" fillId="0" borderId="1" xfId="0" applyNumberFormat="1" applyFont="1" applyBorder="1" applyAlignment="1">
      <alignment horizontal="center" vertical="center"/>
    </xf>
  </cellXfs>
  <cellStyles count="2">
    <cellStyle name="百分比" xfId="1" builtinId="5"/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workbookViewId="0">
      <selection activeCell="E10" sqref="E10"/>
    </sheetView>
  </sheetViews>
  <sheetFormatPr baseColWidth="10" defaultColWidth="9" defaultRowHeight="16" customHeight="1"/>
  <cols>
    <col min="1" max="1" width="23.33203125" style="1" customWidth="1"/>
    <col min="2" max="2" width="15.6640625" style="1" customWidth="1"/>
    <col min="3" max="16384" width="9" style="1"/>
  </cols>
  <sheetData>
    <row r="1" spans="1:2" ht="16" customHeight="1">
      <c r="A1" s="9" t="s">
        <v>0</v>
      </c>
      <c r="B1" s="10">
        <v>45657</v>
      </c>
    </row>
    <row r="2" spans="1:2" ht="16" customHeight="1">
      <c r="A2" s="9" t="s">
        <v>1</v>
      </c>
      <c r="B2" s="10">
        <v>46022</v>
      </c>
    </row>
  </sheetData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2"/>
  <sheetViews>
    <sheetView tabSelected="1" workbookViewId="0">
      <selection activeCell="L7" sqref="L7"/>
    </sheetView>
  </sheetViews>
  <sheetFormatPr baseColWidth="10" defaultColWidth="9" defaultRowHeight="16" customHeight="1"/>
  <cols>
    <col min="1" max="2" width="10.6640625" style="1" customWidth="1"/>
    <col min="3" max="3" width="10.6640625" style="2" customWidth="1"/>
    <col min="4" max="5" width="10.6640625" style="1" customWidth="1"/>
    <col min="6" max="6" width="15.6640625" style="3" customWidth="1"/>
    <col min="7" max="7" width="6.6640625" style="4" customWidth="1"/>
    <col min="8" max="9" width="15.6640625" style="3" customWidth="1"/>
    <col min="10" max="10" width="15.6640625" style="6" customWidth="1"/>
    <col min="11" max="11" width="15.6640625" style="7" customWidth="1"/>
    <col min="12" max="12" width="15.6640625" style="3" customWidth="1"/>
    <col min="13" max="13" width="15.6640625" style="7" customWidth="1"/>
    <col min="14" max="14" width="15.6640625" style="3" customWidth="1"/>
    <col min="15" max="15" width="15.6640625" style="7" customWidth="1"/>
    <col min="16" max="19" width="15.6640625" style="3" customWidth="1"/>
    <col min="20" max="16384" width="9" style="1"/>
  </cols>
  <sheetData>
    <row r="1" spans="1:19" ht="16" customHeight="1">
      <c r="A1" s="11" t="s">
        <v>2</v>
      </c>
      <c r="B1" s="11" t="s">
        <v>3</v>
      </c>
      <c r="C1" s="12" t="s">
        <v>4</v>
      </c>
      <c r="D1" s="11" t="s">
        <v>5</v>
      </c>
      <c r="E1" s="11" t="s">
        <v>6</v>
      </c>
      <c r="F1" s="13" t="s">
        <v>7</v>
      </c>
      <c r="G1" s="14" t="s">
        <v>8</v>
      </c>
      <c r="H1" s="13" t="s">
        <v>9</v>
      </c>
      <c r="I1" s="13" t="s">
        <v>10</v>
      </c>
      <c r="J1" s="15" t="s">
        <v>11</v>
      </c>
      <c r="K1" s="11" t="s">
        <v>12</v>
      </c>
      <c r="L1" s="13" t="s">
        <v>13</v>
      </c>
      <c r="M1" s="11" t="s">
        <v>14</v>
      </c>
      <c r="N1" s="13" t="s">
        <v>15</v>
      </c>
      <c r="O1" s="11" t="s">
        <v>16</v>
      </c>
      <c r="P1" s="13" t="s">
        <v>17</v>
      </c>
      <c r="Q1" s="13" t="s">
        <v>18</v>
      </c>
      <c r="R1" s="13" t="s">
        <v>19</v>
      </c>
      <c r="S1" s="13" t="s">
        <v>20</v>
      </c>
    </row>
    <row r="2" spans="1:19" ht="16" customHeight="1">
      <c r="H2" s="5">
        <f>F2*G2</f>
        <v>0</v>
      </c>
      <c r="I2" s="5">
        <f>F2-H2</f>
        <v>0</v>
      </c>
      <c r="L2" s="5" t="e">
        <f>I2/K2*(IF(DATEDIF(J2,info!$B$1,"M")&gt;K2,K2,IF(DATEDIF(J2,info!$B$1,"M")&gt;0,DATEDIF(J2,info!$B$1,"M"),0)))</f>
        <v>#DIV/0!</v>
      </c>
      <c r="M2" s="8">
        <f>IF(AND(DATEDIF(J2,info!$B$2,"M")&lt;13,DATEDIF(J2,info!$B$2,"M")&gt;0),DATEDIF(J2,info!$B$2,"M"),IF(K2-DATEDIF(J2,info!$B$1,"M")&gt;12,12,IF(K2-DATEDIF(J2,info!$B$1,"M")&lt;0,0,K2-DATEDIF(J2,info!$B$1,"M"))))</f>
        <v>0</v>
      </c>
      <c r="N2" s="5" t="e">
        <f>I2/K2*M2</f>
        <v>#DIV/0!</v>
      </c>
      <c r="O2" s="8">
        <f>IF(DATEDIF(J2,info!$B$2,"M")&gt;K2,K2,DATEDIF(J2,info!$B$2,"M"))</f>
        <v>0</v>
      </c>
      <c r="P2" s="5" t="e">
        <f>L2+N2</f>
        <v>#DIV/0!</v>
      </c>
      <c r="Q2" s="5" t="e">
        <f>F2-P2</f>
        <v>#DIV/0!</v>
      </c>
      <c r="S2" s="5" t="e">
        <f>Q2-R2</f>
        <v>#DIV/0!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info</vt:lpstr>
      <vt:lpstr>测算表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LEI LI</cp:lastModifiedBy>
  <dcterms:created xsi:type="dcterms:W3CDTF">2026-03-16T09:09:00Z</dcterms:created>
  <dcterms:modified xsi:type="dcterms:W3CDTF">2026-04-18T04:39:05Z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631F041D28DE465E8254CB7D968A3E99_11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1</vt:i4>
  </property>
</Properties>
</file>