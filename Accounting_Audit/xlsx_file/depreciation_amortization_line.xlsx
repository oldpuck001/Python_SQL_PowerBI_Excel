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Volumes/未命名/"/>
    </mc:Choice>
  </mc:AlternateContent>
  <xr:revisionPtr revIDLastSave="0" documentId="13_ncr:1_{5E9365AA-FCDC-6B47-8A6A-EC41C06555ED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info" sheetId="2" r:id="rId1"/>
    <sheet name="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Q2" i="1"/>
  <c r="P2" i="1"/>
  <c r="O2" i="1"/>
  <c r="N2" i="1"/>
  <c r="M2" i="1"/>
  <c r="L2" i="1"/>
  <c r="I2" i="1"/>
  <c r="H2" i="1"/>
</calcChain>
</file>

<file path=xl/sharedStrings.xml><?xml version="1.0" encoding="utf-8"?>
<sst xmlns="http://schemas.openxmlformats.org/spreadsheetml/2006/main" count="21" uniqueCount="21">
  <si>
    <r>
      <rPr>
        <b/>
        <sz val="12"/>
        <rFont val="宋体"/>
        <family val="3"/>
        <charset val="134"/>
      </rPr>
      <t>资产类别</t>
    </r>
  </si>
  <si>
    <r>
      <rPr>
        <b/>
        <sz val="12"/>
        <rFont val="宋体"/>
        <family val="3"/>
        <charset val="134"/>
      </rPr>
      <t>卡片编号</t>
    </r>
  </si>
  <si>
    <r>
      <rPr>
        <b/>
        <sz val="12"/>
        <rFont val="宋体"/>
        <family val="3"/>
        <charset val="134"/>
      </rPr>
      <t>资产编号</t>
    </r>
  </si>
  <si>
    <r>
      <rPr>
        <b/>
        <sz val="12"/>
        <rFont val="宋体"/>
        <family val="3"/>
        <charset val="134"/>
      </rPr>
      <t>资产名称</t>
    </r>
  </si>
  <si>
    <r>
      <rPr>
        <b/>
        <sz val="12"/>
        <rFont val="宋体"/>
        <family val="3"/>
        <charset val="134"/>
      </rPr>
      <t>规格型号</t>
    </r>
  </si>
  <si>
    <r>
      <rPr>
        <b/>
        <sz val="12"/>
        <rFont val="宋体"/>
        <family val="3"/>
        <charset val="134"/>
      </rPr>
      <t>原值</t>
    </r>
  </si>
  <si>
    <r>
      <rPr>
        <b/>
        <sz val="12"/>
        <rFont val="宋体"/>
        <family val="3"/>
        <charset val="134"/>
      </rPr>
      <t>残值率</t>
    </r>
  </si>
  <si>
    <r>
      <rPr>
        <b/>
        <sz val="12"/>
        <rFont val="宋体"/>
        <family val="3"/>
        <charset val="134"/>
      </rPr>
      <t>残值</t>
    </r>
  </si>
  <si>
    <r>
      <rPr>
        <b/>
        <sz val="12"/>
        <rFont val="宋体"/>
        <family val="3"/>
        <charset val="134"/>
      </rPr>
      <t>原值</t>
    </r>
    <r>
      <rPr>
        <b/>
        <sz val="12"/>
        <rFont val="Times New Roman"/>
        <family val="1"/>
      </rPr>
      <t>-</t>
    </r>
    <r>
      <rPr>
        <b/>
        <sz val="12"/>
        <rFont val="宋体"/>
        <family val="3"/>
        <charset val="134"/>
      </rPr>
      <t>残值</t>
    </r>
  </si>
  <si>
    <r>
      <rPr>
        <b/>
        <sz val="12"/>
        <rFont val="宋体"/>
        <family val="3"/>
        <charset val="134"/>
      </rPr>
      <t>购入日期</t>
    </r>
  </si>
  <si>
    <r>
      <rPr>
        <b/>
        <sz val="12"/>
        <rFont val="宋体"/>
        <family val="3"/>
        <charset val="134"/>
      </rPr>
      <t>使用年限（月）</t>
    </r>
  </si>
  <si>
    <r>
      <rPr>
        <b/>
        <sz val="12"/>
        <rFont val="宋体"/>
        <family val="3"/>
        <charset val="134"/>
      </rPr>
      <t>年初累计折旧</t>
    </r>
  </si>
  <si>
    <r>
      <rPr>
        <b/>
        <sz val="12"/>
        <rFont val="宋体"/>
        <family val="3"/>
        <charset val="134"/>
      </rPr>
      <t>本年计提月数</t>
    </r>
  </si>
  <si>
    <r>
      <rPr>
        <b/>
        <sz val="12"/>
        <rFont val="宋体"/>
        <family val="3"/>
        <charset val="134"/>
      </rPr>
      <t>本年计提折旧</t>
    </r>
  </si>
  <si>
    <r>
      <rPr>
        <b/>
        <sz val="12"/>
        <rFont val="宋体"/>
        <family val="3"/>
        <charset val="134"/>
      </rPr>
      <t>期末已提折旧年限</t>
    </r>
  </si>
  <si>
    <r>
      <rPr>
        <b/>
        <sz val="12"/>
        <rFont val="宋体"/>
        <family val="3"/>
        <charset val="134"/>
      </rPr>
      <t>年末累计折旧</t>
    </r>
  </si>
  <si>
    <r>
      <rPr>
        <b/>
        <sz val="12"/>
        <rFont val="宋体"/>
        <family val="3"/>
        <charset val="134"/>
      </rPr>
      <t>测算净值</t>
    </r>
  </si>
  <si>
    <r>
      <rPr>
        <b/>
        <sz val="12"/>
        <rFont val="宋体"/>
        <family val="3"/>
        <charset val="134"/>
      </rPr>
      <t>被审计单位净值</t>
    </r>
  </si>
  <si>
    <r>
      <rPr>
        <b/>
        <sz val="12"/>
        <rFont val="宋体"/>
        <family val="3"/>
        <charset val="134"/>
      </rPr>
      <t>差额</t>
    </r>
  </si>
  <si>
    <r>
      <rPr>
        <sz val="12"/>
        <color theme="1"/>
        <rFont val="宋体"/>
        <family val="3"/>
        <charset val="134"/>
      </rPr>
      <t>上年末资产负债表日</t>
    </r>
  </si>
  <si>
    <r>
      <rPr>
        <sz val="12"/>
        <color theme="1"/>
        <rFont val="宋体"/>
        <family val="3"/>
        <charset val="134"/>
      </rPr>
      <t>资产负债表日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</si>
</sst>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_ * #,##0.00_ ;_ * \-#,##0.00_ ;_ * &quot;-&quot;??_ ;_ @_ "/>
    <numFmt numFmtId="180" formatCode="[$-409]yyyy/mm/dd;@"/>
  </numFmts>
  <fonts count="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0" fontId="3" fillId="0" borderId="1" xfId="1" applyNumberFormat="1" applyFont="1" applyBorder="1" applyAlignment="1" applyProtection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0" fontId="5" fillId="0" borderId="0" xfId="0" applyNumberFormat="1" applyFont="1">
      <alignment vertical="center"/>
    </xf>
    <xf numFmtId="178" fontId="5" fillId="2" borderId="0" xfId="0" applyNumberFormat="1" applyFont="1" applyFill="1">
      <alignment vertical="center"/>
    </xf>
    <xf numFmtId="18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10" sqref="E10"/>
    </sheetView>
  </sheetViews>
  <sheetFormatPr baseColWidth="10" defaultColWidth="9" defaultRowHeight="16" customHeight="1"/>
  <cols>
    <col min="1" max="1" width="23.33203125" style="7" customWidth="1"/>
    <col min="2" max="2" width="15.6640625" style="7" customWidth="1"/>
    <col min="3" max="16384" width="9" style="7"/>
  </cols>
  <sheetData>
    <row r="1" spans="1:2" ht="16" customHeight="1">
      <c r="A1" s="15" t="s">
        <v>19</v>
      </c>
      <c r="B1" s="16">
        <v>45657</v>
      </c>
    </row>
    <row r="2" spans="1:2" ht="16" customHeight="1">
      <c r="A2" s="15" t="s">
        <v>20</v>
      </c>
      <c r="B2" s="16">
        <v>46022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"/>
  <sheetViews>
    <sheetView workbookViewId="0">
      <selection activeCell="A2" sqref="A2"/>
    </sheetView>
  </sheetViews>
  <sheetFormatPr baseColWidth="10" defaultColWidth="9" defaultRowHeight="16" customHeight="1"/>
  <cols>
    <col min="1" max="2" width="10.6640625" style="7" customWidth="1"/>
    <col min="3" max="3" width="10.6640625" style="8" customWidth="1"/>
    <col min="4" max="5" width="10.6640625" style="7" customWidth="1"/>
    <col min="6" max="6" width="15.6640625" style="9" customWidth="1"/>
    <col min="7" max="7" width="6.6640625" style="10" customWidth="1"/>
    <col min="8" max="9" width="15.6640625" style="9" customWidth="1"/>
    <col min="10" max="10" width="15.6640625" style="12" customWidth="1"/>
    <col min="11" max="11" width="15.6640625" style="13" customWidth="1"/>
    <col min="12" max="12" width="15.6640625" style="9" customWidth="1"/>
    <col min="13" max="13" width="15.6640625" style="13" customWidth="1"/>
    <col min="14" max="14" width="15.6640625" style="9" customWidth="1"/>
    <col min="15" max="15" width="15.6640625" style="13" customWidth="1"/>
    <col min="16" max="19" width="15.6640625" style="9" customWidth="1"/>
    <col min="20" max="16384" width="9" style="7"/>
  </cols>
  <sheetData>
    <row r="1" spans="1:19" ht="16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6" t="s">
        <v>9</v>
      </c>
      <c r="K1" s="1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16" customHeight="1">
      <c r="H2" s="11">
        <f>F2*G2</f>
        <v>0</v>
      </c>
      <c r="I2" s="11">
        <f>F2-H2</f>
        <v>0</v>
      </c>
      <c r="L2" s="11" t="e">
        <f>I2/K2*(IF(DATEDIF(J2,info!$B$1,"M")&gt;K2,K2,IF(DATEDIF(J2,info!$B$1,"M")&gt;0,DATEDIF(J2,info!$B$1,"M"),0)))</f>
        <v>#DIV/0!</v>
      </c>
      <c r="M2" s="14">
        <f>IF(AND(DATEDIF(J2,info!$B$2,"M")&lt;13,DATEDIF(J2,info!$B$2,"M")&gt;0),DATEDIF(J2,info!$B$2,"M"),IF(K2-DATEDIF(J2,info!$B$1,"M")&gt;12,12,IF(K2-DATEDIF(J2,info!$B$1,"M")&lt;0,0,K2-DATEDIF(J2,info!$B$1,"M"))))</f>
        <v>0</v>
      </c>
      <c r="N2" s="11" t="e">
        <f>I2/K2*M2</f>
        <v>#DIV/0!</v>
      </c>
      <c r="O2" s="14">
        <f>IF(DATEDIF(J2,info!$B$2,"M")&gt;K2,K2,DATEDIF(J2,info!$B$2,"M"))</f>
        <v>0</v>
      </c>
      <c r="P2" s="11" t="e">
        <f>L2+N2</f>
        <v>#DIV/0!</v>
      </c>
      <c r="Q2" s="11" t="e">
        <f>F2-P2</f>
        <v>#DIV/0!</v>
      </c>
      <c r="S2" s="11" t="e">
        <f>Q2-R2</f>
        <v>#DIV/0!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LEI LI</cp:lastModifiedBy>
  <dcterms:created xsi:type="dcterms:W3CDTF">2026-03-16T09:09:00Z</dcterms:created>
  <dcterms:modified xsi:type="dcterms:W3CDTF">2026-03-21T05:43:11Z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631F041D28DE465E8254CB7D968A3E99_11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